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dff513ca5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7466aa8fc084c02"/>
    <x:sheet xmlns:r="http://schemas.openxmlformats.org/officeDocument/2006/relationships" name="Inputs" sheetId="2" r:id="R1e5660fc39854122"/>
    <x:sheet xmlns:r="http://schemas.openxmlformats.org/officeDocument/2006/relationships" name="Working capital" sheetId="3" r:id="R7705c0eba00a4f17"/>
    <x:sheet xmlns:r="http://schemas.openxmlformats.org/officeDocument/2006/relationships" name="Inventory and ANZ" sheetId="4" r:id="Ra5e4954b7f0c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(#,##0.0);&quot;-&quot;"/>
    <x:numFmt numFmtId="201" formatCode="0.00;[Red](0.00);0.00"/>
    <x:numFmt numFmtId="202" formatCode="0.00%"/>
    <x:numFmt numFmtId="203" formatCode="0.0;[Red](0.0);&quot;-&quot;"/>
    <x:numFmt numFmtId="204" formatCode="0.0%"/>
  </x:numFmts>
  <x:fonts count="7">
    <x:font>
      <x:sz val="11"/>
      <x:name val="Carlito"/>
    </x:font>
    <x:font>
      <x:sz val="10"/>
      <x:color rgb="FF1F2937"/>
      <x:name val="Arial"/>
    </x:font>
    <x:font>
      <x:b/>
      <x:sz val="14"/>
      <x:color rgb="FF17324F"/>
      <x:name val="Arial"/>
    </x:font>
    <x:font>
      <x:b/>
      <x:sz val="10"/>
      <x:color rgb="FFFFFFFF"/>
      <x:name val="Arial"/>
    </x:font>
    <x:font>
      <x:sz val="10"/>
      <x:color rgb="FF194EAA"/>
      <x:name val="Arial"/>
    </x:font>
    <x:font>
      <x:sz val="10"/>
      <x:color rgb="FF16804A"/>
      <x:name val="Arial"/>
    </x:font>
    <x:font>
      <x:b/>
      <x:sz val="10"/>
      <x:color rgb="FF1732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EAF0F5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200" fontId="5" fillId="0" borderId="0" xfId="0" applyNumberFormat="1" applyFont="1" applyFill="1" applyBorder="1"/>
    <x:xf numFmtId="200" fontId="6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2" fontId="1" fillId="0" borderId="0" xfId="0" applyNumberFormat="1" applyFont="1" applyFill="1" applyBorder="1"/>
    <x:xf numFmtId="203" fontId="4" fillId="0" borderId="0" xfId="0" applyNumberFormat="1" applyFont="1" applyFill="1" applyBorder="1"/>
    <x:xf numFmtId="203" fontId="4" fillId="4" borderId="0" xfId="0" applyNumberFormat="1" applyFont="1" applyFill="1" applyBorder="1"/>
    <x:xf numFmtId="204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a1a1e6d644392" /><Relationship Type="http://schemas.openxmlformats.org/officeDocument/2006/relationships/theme" Target="/xl/theme/theme1.xml" Id="R42df0c227bbf465f" /><Relationship Type="http://schemas.openxmlformats.org/officeDocument/2006/relationships/sharedStrings" Target="/xl/sharedStrings.xml" Id="R7b765a5e55c04c9e" /><Relationship Type="http://schemas.openxmlformats.org/officeDocument/2006/relationships/worksheet" Target="/xl/worksheets/sheet1.xml" Id="R37466aa8fc084c02" /><Relationship Type="http://schemas.openxmlformats.org/officeDocument/2006/relationships/worksheet" Target="/xl/worksheets/sheet2.xml" Id="R1e5660fc39854122" /><Relationship Type="http://schemas.openxmlformats.org/officeDocument/2006/relationships/worksheet" Target="/xl/worksheets/sheet3.xml" Id="R7705c0eba00a4f17" /><Relationship Type="http://schemas.openxmlformats.org/officeDocument/2006/relationships/worksheet" Target="/xl/worksheets/sheet4.xml" Id="Ra5e4954b7f0c47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5" hidden="0" customWidth="1"/>
    <x:col min="2" max="2" width="17" hidden="0" customWidth="1"/>
    <x:col min="3" max="3" width="17" hidden="0" customWidth="1"/>
    <x:col min="4" max="4" width="18" hidden="0" customWidth="1"/>
    <x:col min="5" max="5" width="18" hidden="0" customWidth="1"/>
    <x:col min="6" max="6" width="60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GFG FY2025 public-data analytics</x:v>
      </x:c>
      <x:c r="B2" s="1"/>
      <x:c r="C2" s="1"/>
      <x:c r="D2" s="1"/>
      <x:c r="E2" s="1"/>
      <x:c r="F2" s="1"/>
    </x:row>
    <x:row r="3">
      <x:c r="A3" s="1" t="str">
        <x:v>Educational analytics | frozen independent assessment v1.1 | €m unless noted</x:v>
      </x:c>
      <x:c r="B3" s="1"/>
      <x:c r="C3" s="1"/>
      <x:c r="D3" s="1"/>
      <x:c r="E3" s="1"/>
      <x:c r="F3" s="1"/>
    </x:row>
    <x:row r="4">
      <x:c r="A4" s="4" t="str">
        <x:v>Metric</x:v>
      </x:c>
      <x:c r="B4" s="4" t="str">
        <x:v>FY2024</x:v>
      </x:c>
      <x:c r="C4" s="4" t="str">
        <x:v>FY2025</x:v>
      </x:c>
      <x:c r="D4" s="4" t="str">
        <x:v>Change €m</x:v>
      </x:c>
      <x:c r="E4" s="4" t="str">
        <x:v>Change %</x:v>
      </x:c>
      <x:c r="F4" s="1"/>
    </x:row>
    <x:row r="5">
      <x:c r="A5" s="1"/>
      <x:c r="B5" s="1"/>
      <x:c r="C5" s="1"/>
      <x:c r="D5" s="1"/>
      <x:c r="E5" s="1"/>
      <x:c r="F5" s="1"/>
    </x:row>
    <x:row r="6">
      <x:c r="A6" s="1" t="str">
        <x:v>Revenue</x:v>
      </x:c>
      <x:c r="B6" s="12" t="n">
        <x:f>Inputs!B5</x:f>
        <x:v>722.6</x:v>
      </x:c>
      <x:c r="C6" s="12" t="n">
        <x:f>Inputs!C5</x:f>
        <x:v>679.8</x:v>
      </x:c>
      <x:c r="D6" s="12" t="n">
        <x:f>C6-B6</x:f>
        <x:v>-42.80000000000007</x:v>
      </x:c>
      <x:c r="E6" s="19" t="n">
        <x:f>C6/B6-1</x:f>
        <x:v>-0.05923055632438423</x:v>
      </x:c>
      <x:c r="F6" s="1"/>
    </x:row>
    <x:row r="7">
      <x:c r="A7" s="1" t="str">
        <x:v>Gross profit</x:v>
      </x:c>
      <x:c r="B7" s="12" t="n">
        <x:f>Inputs!B6</x:f>
        <x:v>324.4</x:v>
      </x:c>
      <x:c r="C7" s="12" t="n">
        <x:f>Inputs!C6</x:f>
        <x:v>315.5</x:v>
      </x:c>
      <x:c r="D7" s="12" t="n">
        <x:f>C7-B7</x:f>
        <x:v>-8.899999999999977</x:v>
      </x:c>
      <x:c r="E7" s="19" t="n">
        <x:f>C7/B7-1</x:f>
        <x:v>-0.02743526510480876</x:v>
      </x:c>
      <x:c r="F7" s="1"/>
    </x:row>
    <x:row r="8">
      <x:c r="A8" s="1" t="str">
        <x:v>Gross margin</x:v>
      </x:c>
      <x:c r="B8" s="19" t="n">
        <x:f>B7/B6</x:f>
        <x:v>0.4489344035427622</x:v>
      </x:c>
      <x:c r="C8" s="19" t="n">
        <x:f>C7/C6</x:f>
        <x:v>0.4641070903206826</x:v>
      </x:c>
      <x:c r="D8" s="12"/>
      <x:c r="E8" s="19"/>
      <x:c r="F8" s="1"/>
    </x:row>
    <x:row r="9">
      <x:c r="A9" s="1" t="str">
        <x:v>Net inventory</x:v>
      </x:c>
      <x:c r="B9" s="12" t="n">
        <x:f>Inputs!B10</x:f>
        <x:v>96.4</x:v>
      </x:c>
      <x:c r="C9" s="12" t="n">
        <x:f>Inputs!C10</x:f>
        <x:v>81.9</x:v>
      </x:c>
      <x:c r="D9" s="12" t="n">
        <x:f>C9-B9</x:f>
        <x:v>-14.5</x:v>
      </x:c>
      <x:c r="E9" s="19" t="n">
        <x:f>C9/B9-1</x:f>
        <x:v>-0.15041493775933612</x:v>
      </x:c>
      <x:c r="F9" s="1"/>
    </x:row>
    <x:row r="10">
      <x:c r="A10" s="1" t="str">
        <x:v>GFG-defined NWC</x:v>
      </x:c>
      <x:c r="B10" s="12" t="n">
        <x:f>'Working capital'!B10</x:f>
        <x:v>-54.80000000000001</x:v>
      </x:c>
      <x:c r="C10" s="12" t="n">
        <x:f>'Working capital'!C10</x:f>
        <x:v>-80.29999999999998</x:v>
      </x:c>
      <x:c r="D10" s="12" t="n">
        <x:f>C10-B10</x:f>
        <x:v>-25.49999999999997</x:v>
      </x:c>
      <x:c r="E10" s="1"/>
      <x:c r="F10" s="1"/>
    </x:row>
    <x:row r="11">
      <x:c r="A11" s="1" t="str">
        <x:v>Provision / gross finished goods</x:v>
      </x:c>
      <x:c r="B11" s="16" t="n">
        <x:f>'Inventory and ANZ'!B9</x:f>
        <x:v>0.08840304182509506</x:v>
      </x:c>
      <x:c r="C11" s="16" t="n">
        <x:f>'Inventory and ANZ'!C9</x:f>
        <x:v>0.08040770101925254</x:v>
      </x:c>
      <x:c r="D11" s="1"/>
      <x:c r="E11" s="1"/>
      <x:c r="F11" s="1"/>
    </x:row>
    <x:row r="12">
      <x:c r="A12" s="1"/>
      <x:c r="B12" s="1"/>
      <x:c r="C12" s="1"/>
      <x:c r="D12" s="1"/>
      <x:c r="E12" s="1"/>
      <x:c r="F12" s="1"/>
    </x:row>
    <x:row r="13">
      <x:c r="A13" s="1"/>
      <x:c r="B13" s="1"/>
      <x:c r="C13" s="1"/>
      <x:c r="D13" s="1"/>
      <x:c r="E13" s="1"/>
      <x:c r="F13" s="1"/>
    </x:row>
    <x:row r="14">
      <x:c r="A14" s="4" t="str">
        <x:v>FY2025 Pro-Forma Cash bridge</x:v>
      </x:c>
      <x:c r="B14" s="4" t="str"/>
      <x:c r="C14" s="4" t="str">
        <x:v>€m</x:v>
      </x:c>
      <x:c r="D14" s="1"/>
      <x:c r="E14" s="1"/>
      <x:c r="F14" s="1"/>
    </x:row>
    <x:row r="15">
      <x:c r="A15" s="1" t="str">
        <x:v>IFRS cash and cash equivalents</x:v>
      </x:c>
      <x:c r="B15" s="1"/>
      <x:c r="C15" s="12" t="n">
        <x:f>Inputs!C12</x:f>
        <x:v>176.5</x:v>
      </x:c>
      <x:c r="D15" s="1"/>
      <x:c r="E15" s="1"/>
      <x:c r="F15" s="1"/>
    </x:row>
    <x:row r="16">
      <x:c r="A16" s="1" t="str">
        <x:v>APM restricted cash / deposits adjustment</x:v>
      </x:c>
      <x:c r="B16" s="1"/>
      <x:c r="C16" s="12" t="n">
        <x:f>Inputs!C21</x:f>
        <x:v>8.6</x:v>
      </x:c>
      <x:c r="D16" s="1"/>
      <x:c r="E16" s="1"/>
      <x:c r="F16" s="1"/>
    </x:row>
    <x:row r="17">
      <x:c r="A17" s="1" t="str">
        <x:v>Investment funds</x:v>
      </x:c>
      <x:c r="B17" s="1"/>
      <x:c r="C17" s="12" t="n">
        <x:f>Inputs!C22</x:f>
        <x:v>0</x:v>
      </x:c>
      <x:c r="D17" s="1"/>
      <x:c r="E17" s="1"/>
      <x:c r="F17" s="1"/>
    </x:row>
    <x:row r="18">
      <x:c r="A18" s="9" t="str">
        <x:v>Calculated Pro-Forma Cash</x:v>
      </x:c>
      <x:c r="B18" s="9"/>
      <x:c r="C18" s="11" t="n">
        <x:f>SUM(C15:C17)</x:f>
        <x:v>185.1</x:v>
      </x:c>
      <x:c r="D18" s="1"/>
      <x:c r="E18" s="1"/>
      <x:c r="F18" s="1"/>
    </x:row>
    <x:row r="19">
      <x:c r="A19" s="1" t="str">
        <x:v>Published Pro-Forma Cash</x:v>
      </x:c>
      <x:c r="B19" s="1"/>
      <x:c r="C19" s="12" t="n">
        <x:f>Inputs!C23</x:f>
        <x:v>185.1</x:v>
      </x:c>
      <x:c r="D19" s="1"/>
      <x:c r="E19" s="1"/>
      <x:c r="F19" s="1"/>
    </x:row>
    <x:row r="20">
      <x:c r="A20" s="1" t="str">
        <x:v>Difference to published APM</x:v>
      </x:c>
      <x:c r="B20" s="1"/>
      <x:c r="C20" s="13" t="n">
        <x:f>ROUND(C18-C19,2)</x:f>
        <x:v>0</x:v>
      </x:c>
      <x:c r="D20" s="1"/>
      <x:c r="E20" s="1"/>
      <x:c r="F20" s="1"/>
    </x:row>
    <x:row r="21">
      <x:c r="A21" s="1" t="str"/>
      <x:c r="B21" s="1"/>
      <x:c r="C21" s="12"/>
      <x:c r="D21" s="1"/>
      <x:c r="E21" s="1"/>
      <x:c r="F21" s="1"/>
    </x:row>
    <x:row r="22">
      <x:c r="A22" s="1" t="str">
        <x:v>Note 16 broader balances</x:v>
      </x:c>
      <x:c r="B22" s="1"/>
      <x:c r="C22" s="12" t="n">
        <x:f>Inputs!C25+Inputs!C26</x:f>
        <x:v>9.5</x:v>
      </x:c>
      <x:c r="D22" s="1"/>
      <x:c r="E22" s="1"/>
      <x:c r="F22" s="1"/>
    </x:row>
    <x:row r="23">
      <x:c r="A23" s="1" t="str">
        <x:v>Unallocated Note 16 vs APM difference</x:v>
      </x:c>
      <x:c r="B23" s="1"/>
      <x:c r="C23" s="12" t="n">
        <x:f>ROUND(C22-C16,2)</x:f>
        <x:v>0.9</x:v>
      </x:c>
      <x:c r="D23" s="1"/>
      <x:c r="E23" s="1"/>
      <x:c r="F23" s="1" t="str">
        <x:v>Unexplained in permitted sources; Q03 closed as a documented limitation.</x:v>
      </x:c>
    </x:row>
    <x:row r="24">
      <x:c r="A24" s="1"/>
      <x:c r="B24" s="1"/>
      <x:c r="C24" s="1"/>
      <x:c r="D24" s="1"/>
      <x:c r="E24" s="1"/>
      <x:c r="F24" s="1"/>
    </x:row>
    <x:row r="25">
      <x:c r="A25" s="1" t="str">
        <x:v>Public-source analysis only. No proposed audit procedure has been performed.</x:v>
      </x:c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7B5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6" hidden="0" customWidth="1"/>
    <x:col min="4" max="4" width="46" hidden="0" customWidth="1"/>
  </x:cols>
  <x:sheetData>
    <x:row r="1">
      <x:c r="A1" s="1"/>
      <x:c r="B1" s="1"/>
      <x:c r="C1" s="1"/>
      <x:c r="D1" s="1"/>
    </x:row>
    <x:row r="2">
      <x:c r="A2" s="2" t="str">
        <x:v>GFG FY2025 public inputs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4" t="str">
        <x:v>Metric (€m unless noted)</x:v>
      </x:c>
      <x:c r="B4" s="4" t="str">
        <x:v>FY2024</x:v>
      </x:c>
      <x:c r="C4" s="4" t="str">
        <x:v>FY2025</x:v>
      </x:c>
      <x:c r="D4" s="4" t="str">
        <x:v>Public source locator</x:v>
      </x:c>
    </x:row>
    <x:row r="5">
      <x:c r="A5" s="1" t="str">
        <x:v>Revenue</x:v>
      </x:c>
      <x:c r="B5" s="6" t="n">
        <x:v>722.6</x:v>
      </x:c>
      <x:c r="C5" s="6" t="n">
        <x:v>679.8</x:v>
      </x:c>
      <x:c r="D5" s="1" t="str">
        <x:v>GFG Annual Report 2025 p.47</x:v>
      </x:c>
    </x:row>
    <x:row r="6">
      <x:c r="A6" s="1" t="str">
        <x:v>Gross profit</x:v>
      </x:c>
      <x:c r="B6" s="6" t="n">
        <x:v>324.4</x:v>
      </x:c>
      <x:c r="C6" s="6" t="n">
        <x:v>315.5</x:v>
      </x:c>
      <x:c r="D6" s="1" t="str">
        <x:v>GFG Annual Report 2025 p.47</x:v>
      </x:c>
    </x:row>
    <x:row r="7">
      <x:c r="A7" s="1" t="str">
        <x:v>EBIT</x:v>
      </x:c>
      <x:c r="B7" s="6" t="n">
        <x:v>-74.9</x:v>
      </x:c>
      <x:c r="C7" s="6" t="n">
        <x:v>-40</x:v>
      </x:c>
      <x:c r="D7" s="1" t="str">
        <x:v>GFG Annual Report 2025 p.47</x:v>
      </x:c>
    </x:row>
    <x:row r="8">
      <x:c r="A8" s="1" t="str">
        <x:v>Adjusted EBITDA</x:v>
      </x:c>
      <x:c r="B8" s="6" t="n">
        <x:v>-17.6</x:v>
      </x:c>
      <x:c r="C8" s="6" t="n">
        <x:v>9.3</x:v>
      </x:c>
      <x:c r="D8" s="1" t="str">
        <x:v>GFG Annual Report 2025 Note 6 pp.69–71</x:v>
      </x:c>
    </x:row>
    <x:row r="9">
      <x:c r="A9" s="1" t="str">
        <x:v>NMV</x:v>
      </x:c>
      <x:c r="B9" s="6" t="n">
        <x:v>1099.6</x:v>
      </x:c>
      <x:c r="C9" s="6" t="n">
        <x:v>1041.6</x:v>
      </x:c>
      <x:c r="D9" s="1" t="str">
        <x:v>GFG Annual Report 2025 p.128</x:v>
      </x:c>
    </x:row>
    <x:row r="10">
      <x:c r="A10" s="1" t="str">
        <x:v>Net inventories</x:v>
      </x:c>
      <x:c r="B10" s="6" t="n">
        <x:v>96.4</x:v>
      </x:c>
      <x:c r="C10" s="6" t="n">
        <x:v>81.9</x:v>
      </x:c>
      <x:c r="D10" s="1" t="str">
        <x:v>GFG Annual Report 2025 pp.48, 83</x:v>
      </x:c>
    </x:row>
    <x:row r="11">
      <x:c r="A11" s="1" t="str">
        <x:v>Current trade and other receivables</x:v>
      </x:c>
      <x:c r="B11" s="6" t="n">
        <x:v>48.8</x:v>
      </x:c>
      <x:c r="C11" s="6" t="n">
        <x:v>21.1</x:v>
      </x:c>
      <x:c r="D11" s="1" t="str">
        <x:v>GFG Annual Report 2025 pp.48, 84</x:v>
      </x:c>
    </x:row>
    <x:row r="12">
      <x:c r="A12" s="1" t="str">
        <x:v>Cash and cash equivalents</x:v>
      </x:c>
      <x:c r="B12" s="6" t="n">
        <x:v>210.6</x:v>
      </x:c>
      <x:c r="C12" s="6" t="n">
        <x:v>176.5</x:v>
      </x:c>
      <x:c r="D12" s="1" t="str">
        <x:v>GFG Annual Report 2025 pp.48, 84</x:v>
      </x:c>
    </x:row>
    <x:row r="13">
      <x:c r="A13" s="1" t="str">
        <x:v>Total assets</x:v>
      </x:c>
      <x:c r="B13" s="6" t="n">
        <x:v>637.5</x:v>
      </x:c>
      <x:c r="C13" s="6" t="n">
        <x:v>530.3</x:v>
      </x:c>
      <x:c r="D13" s="1" t="str">
        <x:v>GFG Annual Report 2025 p.48</x:v>
      </x:c>
    </x:row>
    <x:row r="14">
      <x:c r="A14" s="1" t="str">
        <x:v>Net operating cash flow</x:v>
      </x:c>
      <x:c r="B14" s="6" t="n">
        <x:v>-15</x:v>
      </x:c>
      <x:c r="C14" s="6" t="n">
        <x:v>7.5</x:v>
      </x:c>
      <x:c r="D14" s="1" t="str">
        <x:v>GFG Annual Report 2025 p.52</x:v>
      </x:c>
    </x:row>
    <x:row r="15">
      <x:c r="A15" s="1" t="str">
        <x:v>Gross finished goods and merchandise</x:v>
      </x:c>
      <x:c r="B15" s="6" t="n">
        <x:v>105.2</x:v>
      </x:c>
      <x:c r="C15" s="6" t="n">
        <x:v>88.3</x:v>
      </x:c>
      <x:c r="D15" s="1" t="str">
        <x:v>GFG Annual Report 2025 p.83 Note 15</x:v>
      </x:c>
    </x:row>
    <x:row r="16">
      <x:c r="A16" s="1" t="str">
        <x:v>Less: inventory provision</x:v>
      </x:c>
      <x:c r="B16" s="6" t="n">
        <x:v>-9.3</x:v>
      </x:c>
      <x:c r="C16" s="6" t="n">
        <x:v>-7.1</x:v>
      </x:c>
      <x:c r="D16" s="1" t="str">
        <x:v>GFG Annual Report 2025 p.83 Note 15</x:v>
      </x:c>
    </x:row>
    <x:row r="17">
      <x:c r="A17" s="1" t="str">
        <x:v>Raw materials and supplies</x:v>
      </x:c>
      <x:c r="B17" s="6" t="n">
        <x:v>0.5</x:v>
      </x:c>
      <x:c r="C17" s="6" t="n">
        <x:v>0.7</x:v>
      </x:c>
      <x:c r="D17" s="1" t="str">
        <x:v>GFG Annual Report 2025 p.83 Note 15</x:v>
      </x:c>
    </x:row>
    <x:row r="18">
      <x:c r="A18" s="1" t="str">
        <x:v>NWC: less payables and other financial liabilities</x:v>
      </x:c>
      <x:c r="B18" s="6" t="n">
        <x:v>-204</x:v>
      </x:c>
      <x:c r="C18" s="6" t="n">
        <x:v>-224.7</x:v>
      </x:c>
      <x:c r="D18" s="1" t="str">
        <x:v>GFG Annual Report 2025 p.129</x:v>
      </x:c>
    </x:row>
    <x:row r="19">
      <x:c r="A19" s="1" t="str">
        <x:v>NWC: add back convertible-bond liability</x:v>
      </x:c>
      <x:c r="B19" s="6" t="n">
        <x:v>2.7</x:v>
      </x:c>
      <x:c r="C19" s="6" t="n">
        <x:v>40.4</x:v>
      </x:c>
      <x:c r="D19" s="1" t="str">
        <x:v>GFG Annual Report 2025 p.129</x:v>
      </x:c>
    </x:row>
    <x:row r="20">
      <x:c r="A20" s="1" t="str">
        <x:v>NWC: add back share-based-payment liability</x:v>
      </x:c>
      <x:c r="B20" s="6" t="n">
        <x:v>1.3</x:v>
      </x:c>
      <x:c r="C20" s="6" t="n">
        <x:v>1</x:v>
      </x:c>
      <x:c r="D20" s="1" t="str">
        <x:v>GFG Annual Report 2025 p.129</x:v>
      </x:c>
    </x:row>
    <x:row r="21">
      <x:c r="A21" s="1" t="str">
        <x:v>Restricted cash/deposits included in APM</x:v>
      </x:c>
      <x:c r="B21" s="6"/>
      <x:c r="C21" s="6" t="n">
        <x:v>8.6</x:v>
      </x:c>
      <x:c r="D21" s="1" t="str">
        <x:v>GFG Annual Report 2025 p.129</x:v>
      </x:c>
    </x:row>
    <x:row r="22">
      <x:c r="A22" s="1" t="str">
        <x:v>Investment funds included in APM</x:v>
      </x:c>
      <x:c r="B22" s="6"/>
      <x:c r="C22" s="6" t="n">
        <x:v>0</x:v>
      </x:c>
      <x:c r="D22" s="1" t="str">
        <x:v>GFG Annual Report 2025 p.129</x:v>
      </x:c>
    </x:row>
    <x:row r="23">
      <x:c r="A23" s="1" t="str">
        <x:v>Published Pro-Forma Cash</x:v>
      </x:c>
      <x:c r="B23" s="6"/>
      <x:c r="C23" s="6" t="n">
        <x:v>185.1</x:v>
      </x:c>
      <x:c r="D23" s="1" t="str">
        <x:v>Annual p.129; FY2025 results announcement</x:v>
      </x:c>
    </x:row>
    <x:row r="24">
      <x:c r="A24" s="1" t="str">
        <x:v>Published GFG-defined NWC</x:v>
      </x:c>
      <x:c r="B24" s="6" t="n">
        <x:v>-54.8</x:v>
      </x:c>
      <x:c r="C24" s="6" t="n">
        <x:v>-80.3</x:v>
      </x:c>
      <x:c r="D24" s="1" t="str">
        <x:v>GFG Annual Report 2025 p.129</x:v>
      </x:c>
    </x:row>
    <x:row r="25">
      <x:c r="A25" s="1" t="str">
        <x:v>Note 16 current restricted cash</x:v>
      </x:c>
      <x:c r="B25" s="6"/>
      <x:c r="C25" s="6" t="n">
        <x:v>6.2</x:v>
      </x:c>
      <x:c r="D25" s="1" t="str">
        <x:v>GFG Annual Report 2025 p.84 Note 16</x:v>
      </x:c>
    </x:row>
    <x:row r="26">
      <x:c r="A26" s="1" t="str">
        <x:v>Note 16 current deposit receivables</x:v>
      </x:c>
      <x:c r="B26" s="6"/>
      <x:c r="C26" s="6" t="n">
        <x:v>3.3</x:v>
      </x:c>
      <x:c r="D26" s="1" t="str">
        <x:v>GFG Annual Report 2025 p.84 Note 16</x:v>
      </x:c>
    </x:row>
    <x:row r="27">
      <x:c r="A27" s="1"/>
      <x:c r="B27" s="1"/>
      <x:c r="C27" s="1"/>
      <x:c r="D27" s="1"/>
    </x:row>
    <x:row r="28">
      <x:c r="A28" s="1" t="str">
        <x:v>Annual-report source</x:v>
      </x:c>
      <x:c r="B28" s="1"/>
      <x:c r="C28" s="1"/>
      <x:c r="D28" s="1" t="str">
        <x:v>Official GFG IR; full URL and hash in freeze manifest</x:v>
      </x:c>
    </x:row>
    <x:row r="29">
      <x:c r="A29" s="1" t="str">
        <x:v>Results announcement</x:v>
      </x:c>
      <x:c r="B29" s="1"/>
      <x:c r="C29" s="1"/>
      <x:c r="D29" s="1" t="str">
        <x:v>Official GFG IR; full URL in freeze manifest</x:v>
      </x:c>
    </x:row>
    <x:row r="30">
      <x:c r="A30" s="1"/>
      <x:c r="B30" s="1"/>
      <x:c r="C30" s="1"/>
      <x:c r="D30" s="1"/>
    </x:row>
    <x:row r="31">
      <x:c r="A31" s="1" t="str">
        <x:v>FY2024 NWC source note</x:v>
      </x:c>
      <x:c r="B31" s="1" t="str">
        <x:v>p.129 shows inventory 96.3; statement and Note 15 show 96.4, which gives published NWC.</x:v>
      </x:c>
      <x:c r="C31" s="1"/>
      <x:c r="D3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2" hidden="0" customWidth="1"/>
    <x:col min="2" max="2" width="17" hidden="0" customWidth="1"/>
    <x:col min="3" max="3" width="17" hidden="0" customWidth="1"/>
    <x:col min="4" max="4" width="40" hidden="0" customWidth="1"/>
  </x:cols>
  <x:sheetData>
    <x:row r="1">
      <x:c r="A1" s="1"/>
      <x:c r="B1" s="1"/>
      <x:c r="C1" s="1"/>
      <x:c r="D1" s="1"/>
    </x:row>
    <x:row r="2">
      <x:c r="A2" s="2" t="str">
        <x:v>GFG-defined net working capital (€m)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4" t="str">
        <x:v>Component</x:v>
      </x:c>
      <x:c r="B4" s="4" t="str">
        <x:v>FY2024</x:v>
      </x:c>
      <x:c r="C4" s="4" t="str">
        <x:v>FY2025</x:v>
      </x:c>
      <x:c r="D4" s="4" t="str">
        <x:v>Source / method</x:v>
      </x:c>
    </x:row>
    <x:row r="5">
      <x:c r="A5" s="1" t="str">
        <x:v>Inventory</x:v>
      </x:c>
      <x:c r="B5" s="10" t="n">
        <x:f>Inputs!B10</x:f>
        <x:v>96.4</x:v>
      </x:c>
      <x:c r="C5" s="10" t="n">
        <x:f>Inputs!C10</x:f>
        <x:v>81.9</x:v>
      </x:c>
      <x:c r="D5" s="1" t="str">
        <x:v>Annual Report pp.48, 83, 129</x:v>
      </x:c>
    </x:row>
    <x:row r="6">
      <x:c r="A6" s="1" t="str">
        <x:v>Current trade and other receivables</x:v>
      </x:c>
      <x:c r="B6" s="10" t="n">
        <x:f>Inputs!B11</x:f>
        <x:v>48.8</x:v>
      </x:c>
      <x:c r="C6" s="10" t="n">
        <x:f>Inputs!C11</x:f>
        <x:v>21.1</x:v>
      </x:c>
      <x:c r="D6" s="1" t="str">
        <x:v>Annual Report pp.48, 84, 129</x:v>
      </x:c>
    </x:row>
    <x:row r="7">
      <x:c r="A7" s="1" t="str">
        <x:v>Less: payables and other financial liabilities</x:v>
      </x:c>
      <x:c r="B7" s="10" t="n">
        <x:f>Inputs!B18</x:f>
        <x:v>-204</x:v>
      </x:c>
      <x:c r="C7" s="10" t="n">
        <x:f>Inputs!C18</x:f>
        <x:v>-224.7</x:v>
      </x:c>
      <x:c r="D7" s="1" t="str">
        <x:v>Annual Report p.129</x:v>
      </x:c>
    </x:row>
    <x:row r="8">
      <x:c r="A8" s="1" t="str">
        <x:v>Add back: convertible-bond liability</x:v>
      </x:c>
      <x:c r="B8" s="10" t="n">
        <x:f>Inputs!B19</x:f>
        <x:v>2.7</x:v>
      </x:c>
      <x:c r="C8" s="10" t="n">
        <x:f>Inputs!C19</x:f>
        <x:v>40.4</x:v>
      </x:c>
      <x:c r="D8" s="1" t="str">
        <x:v>Annual Report p.129</x:v>
      </x:c>
    </x:row>
    <x:row r="9">
      <x:c r="A9" s="1" t="str">
        <x:v>Add back: share-based-payment liability</x:v>
      </x:c>
      <x:c r="B9" s="10" t="n">
        <x:f>Inputs!B20</x:f>
        <x:v>1.3</x:v>
      </x:c>
      <x:c r="C9" s="10" t="n">
        <x:f>Inputs!C20</x:f>
        <x:v>1</x:v>
      </x:c>
      <x:c r="D9" s="1" t="str">
        <x:v>Annual Report p.129</x:v>
      </x:c>
    </x:row>
    <x:row r="10">
      <x:c r="A10" s="9" t="str">
        <x:v>Calculated NWC</x:v>
      </x:c>
      <x:c r="B10" s="11" t="n">
        <x:f>SUM(B5:B9)</x:f>
        <x:v>-54.80000000000001</x:v>
      </x:c>
      <x:c r="C10" s="11" t="n">
        <x:f>SUM(C5:C9)</x:f>
        <x:v>-80.29999999999998</x:v>
      </x:c>
      <x:c r="D10" s="1" t="str">
        <x:v>Company-defined formula</x:v>
      </x:c>
    </x:row>
    <x:row r="11">
      <x:c r="A11" s="1" t="str">
        <x:v>Published NWC</x:v>
      </x:c>
      <x:c r="B11" s="10" t="n">
        <x:f>Inputs!B24</x:f>
        <x:v>-54.8</x:v>
      </x:c>
      <x:c r="C11" s="10" t="n">
        <x:f>Inputs!C24</x:f>
        <x:v>-80.3</x:v>
      </x:c>
      <x:c r="D11" s="1" t="str">
        <x:v>Annual Report p.129</x:v>
      </x:c>
    </x:row>
    <x:row r="12">
      <x:c r="A12" s="1" t="str">
        <x:v>Difference</x:v>
      </x:c>
      <x:c r="B12" s="13" t="n">
        <x:f>ROUND(B10-B11,2)</x:f>
        <x:v>0</x:v>
      </x:c>
      <x:c r="C12" s="13" t="n">
        <x:f>ROUND(C10-C11,2)</x:f>
        <x:v>0</x:v>
      </x:c>
      <x:c r="D12" s="1"/>
    </x:row>
    <x:row r="13">
      <x:c r="A13" s="1"/>
      <x:c r="B13" s="1"/>
      <x:c r="C13" s="1"/>
      <x:c r="D13" s="1"/>
    </x:row>
    <x:row r="14">
      <x:c r="A14" s="1" t="str">
        <x:v>FY2024 display note</x:v>
      </x:c>
      <x:c r="B14" s="1"/>
      <x:c r="C14" s="1"/>
      <x:c r="D14" s="1"/>
    </x:row>
    <x:row r="15">
      <x:c r="A15" s="1" t="str">
        <x:v>KPI table inventory 96.3; Note 15 96.4. The latter gives reported NWC (54.8).</x:v>
      </x:c>
      <x:c r="B15" s="1"/>
      <x:c r="C15" s="1"/>
      <x:c r="D15" s="1"/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8" hidden="0" customWidth="1"/>
    <x:col min="2" max="2" width="19" hidden="0" customWidth="1"/>
    <x:col min="3" max="3" width="19" hidden="0" customWidth="1"/>
    <x:col min="4" max="4" width="25" hidden="0" customWidth="1"/>
    <x:col min="5" max="5" width="22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Inventory and ANZ public sensitivities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4" t="str">
        <x:v>Inventory (€m unless noted)</x:v>
      </x:c>
      <x:c r="B4" s="4" t="str">
        <x:v>FY2024</x:v>
      </x:c>
      <x:c r="C4" s="4" t="str">
        <x:v>FY2025</x:v>
      </x:c>
      <x:c r="D4" s="4" t="str">
        <x:v>Source / method</x:v>
      </x:c>
      <x:c r="E4" s="1"/>
    </x:row>
    <x:row r="5">
      <x:c r="A5" s="1" t="str">
        <x:v>Raw materials and supplies</x:v>
      </x:c>
      <x:c r="B5" s="10" t="n">
        <x:f>Inputs!B17</x:f>
        <x:v>0.5</x:v>
      </x:c>
      <x:c r="C5" s="10" t="n">
        <x:f>Inputs!C17</x:f>
        <x:v>0.7</x:v>
      </x:c>
      <x:c r="D5" s="1" t="str">
        <x:v>Annual Report p.83 Note 15</x:v>
      </x:c>
      <x:c r="E5" s="1"/>
    </x:row>
    <x:row r="6">
      <x:c r="A6" s="1" t="str">
        <x:v>Gross finished goods and merchandise</x:v>
      </x:c>
      <x:c r="B6" s="10" t="n">
        <x:f>Inputs!B15</x:f>
        <x:v>105.2</x:v>
      </x:c>
      <x:c r="C6" s="10" t="n">
        <x:f>Inputs!C15</x:f>
        <x:v>88.3</x:v>
      </x:c>
      <x:c r="D6" s="1" t="str">
        <x:v>Annual Report p.83 Note 15</x:v>
      </x:c>
      <x:c r="E6" s="1"/>
    </x:row>
    <x:row r="7">
      <x:c r="A7" s="1" t="str">
        <x:v>Less: provision</x:v>
      </x:c>
      <x:c r="B7" s="10" t="n">
        <x:f>Inputs!B16</x:f>
        <x:v>-9.3</x:v>
      </x:c>
      <x:c r="C7" s="10" t="n">
        <x:f>Inputs!C16</x:f>
        <x:v>-7.1</x:v>
      </x:c>
      <x:c r="D7" s="1" t="str">
        <x:v>Annual Report p.83 Note 15</x:v>
      </x:c>
      <x:c r="E7" s="1"/>
    </x:row>
    <x:row r="8">
      <x:c r="A8" s="9" t="str">
        <x:v>Calculated net inventory</x:v>
      </x:c>
      <x:c r="B8" s="11" t="n">
        <x:f>SUM(B5:B7)</x:f>
        <x:v>96.4</x:v>
      </x:c>
      <x:c r="C8" s="11" t="n">
        <x:f>SUM(C5:C7)</x:f>
        <x:v>81.9</x:v>
      </x:c>
      <x:c r="D8" s="1" t="str">
        <x:v>Calculated from p.83</x:v>
      </x:c>
      <x:c r="E8" s="1"/>
    </x:row>
    <x:row r="9">
      <x:c r="A9" s="1" t="str">
        <x:v>Provision / gross finished goods</x:v>
      </x:c>
      <x:c r="B9" s="16" t="n">
        <x:f>-B7/B6</x:f>
        <x:v>0.08840304182509506</x:v>
      </x:c>
      <x:c r="C9" s="16" t="n">
        <x:f>-C7/C6</x:f>
        <x:v>0.08040770101925254</x:v>
      </x:c>
      <x:c r="D9" s="1" t="str">
        <x:v>Calculated; provision ÷ gross finished goods</x:v>
      </x:c>
      <x:c r="E9" s="1"/>
    </x:row>
    <x:row r="10">
      <x:c r="A10" s="1" t="str">
        <x:v>Published net inventory</x:v>
      </x:c>
      <x:c r="B10" s="10" t="n">
        <x:f>Inputs!B10</x:f>
        <x:v>96.4</x:v>
      </x:c>
      <x:c r="C10" s="10" t="n">
        <x:f>Inputs!C10</x:f>
        <x:v>81.9</x:v>
      </x:c>
      <x:c r="D10" s="1" t="str">
        <x:v>Annual Report p.83 Note 15</x:v>
      </x:c>
      <x:c r="E10" s="1"/>
    </x:row>
    <x:row r="11">
      <x:c r="A11" s="1" t="str">
        <x:v>Difference</x:v>
      </x:c>
      <x:c r="B11" s="13" t="n">
        <x:f>ROUND(B8-B10,2)</x:f>
        <x:v>0</x:v>
      </x:c>
      <x:c r="C11" s="13" t="n">
        <x:f>ROUND(C8-C10,2)</x:f>
        <x:v>0</x:v>
      </x:c>
      <x:c r="D11" s="1"/>
      <x:c r="E11" s="1"/>
    </x:row>
    <x:row r="12">
      <x:c r="A12" s="1"/>
      <x:c r="B12" s="1"/>
      <x:c r="C12" s="1"/>
      <x:c r="D12" s="1"/>
      <x:c r="E12" s="1"/>
    </x:row>
    <x:row r="13">
      <x:c r="A13" s="1"/>
      <x:c r="B13" s="1"/>
      <x:c r="C13" s="1"/>
      <x:c r="D13" s="1"/>
      <x:c r="E13" s="1"/>
    </x:row>
    <x:row r="14">
      <x:c r="A14" s="4" t="str">
        <x:v>ANZ break-even sensitivity</x:v>
      </x:c>
      <x:c r="B14" s="4" t="str">
        <x:v>Published threshold</x:v>
      </x:c>
      <x:c r="C14" s="4" t="str">
        <x:v>Illustrative change</x:v>
      </x:c>
      <x:c r="D14" s="4" t="str">
        <x:v>Unit</x:v>
      </x:c>
      <x:c r="E14" s="4" t="str">
        <x:v>Comparison</x:v>
      </x:c>
    </x:row>
    <x:row r="15">
      <x:c r="A15" s="1" t="str">
        <x:v>Discount rates</x:v>
      </x:c>
      <x:c r="B15" s="17" t="n">
        <x:v>8</x:v>
      </x:c>
      <x:c r="C15" s="18" t="n">
        <x:v>2</x:v>
      </x:c>
      <x:c r="D15" s="1" t="str">
        <x:v>percentage points</x:v>
      </x:c>
      <x:c r="E15" s="1" t="str">
        <x:f>IF(B15&gt;0,IF(C15&gt;=B15,"At/beyond","Below"),IF(C15&lt;=B15,"At/beyond","Below"))</x:f>
        <x:v>Below</x:v>
      </x:c>
    </x:row>
    <x:row r="16">
      <x:c r="A16" s="1" t="str">
        <x:v>EBITDA margin</x:v>
      </x:c>
      <x:c r="B16" s="17" t="n">
        <x:v>-3</x:v>
      </x:c>
      <x:c r="C16" s="18" t="n">
        <x:v>-1</x:v>
      </x:c>
      <x:c r="D16" s="1" t="str">
        <x:v>percentage points</x:v>
      </x:c>
      <x:c r="E16" s="1" t="str">
        <x:f>IF(B16&gt;0,IF(C16&gt;=B16,"At/beyond","Below"),IF(C16&lt;=B16,"At/beyond","Below"))</x:f>
        <x:v>Below</x:v>
      </x:c>
    </x:row>
    <x:row r="17">
      <x:c r="A17" s="1" t="str">
        <x:v>Capital expenditure</x:v>
      </x:c>
      <x:c r="B17" s="17" t="n">
        <x:v>26.9</x:v>
      </x:c>
      <x:c r="C17" s="18" t="n">
        <x:v>10</x:v>
      </x:c>
      <x:c r="D17" s="1" t="str">
        <x:v>percent</x:v>
      </x:c>
      <x:c r="E17" s="1" t="str">
        <x:f>IF(B17&gt;0,IF(C17&gt;=B17,"At/beyond","Below"),IF(C17&lt;=B17,"At/beyond","Below"))</x:f>
        <x:v>Below</x:v>
      </x:c>
    </x:row>
    <x:row r="18">
      <x:c r="A18" s="1" t="str">
        <x:v>2028/2029 revenue growth rate</x:v>
      </x:c>
      <x:c r="B18" s="17" t="n">
        <x:v>-3.3</x:v>
      </x:c>
      <x:c r="C18" s="18" t="n">
        <x:v>-1</x:v>
      </x:c>
      <x:c r="D18" s="1" t="str">
        <x:v>percent</x:v>
      </x:c>
      <x:c r="E18" s="1" t="str">
        <x:f>IF(B18&gt;0,IF(C18&gt;=B18,"At/beyond","Below"),IF(C18&lt;=B18,"At/beyond","Below"))</x:f>
        <x:v>Below</x:v>
      </x:c>
    </x:row>
    <x:row r="19">
      <x:c r="A19" s="1"/>
      <x:c r="B19" s="1"/>
      <x:c r="C19" s="1"/>
      <x:c r="D19" s="1"/>
      <x:c r="E19" s="1"/>
    </x:row>
    <x:row r="20">
      <x:c r="A20" s="1" t="str">
        <x:v>Published thresholds: Annual Report 2025 p.83; illustrative changes are editable synthetic inputs.</x:v>
      </x:c>
      <x:c r="B20" s="1"/>
      <x:c r="C20" s="1"/>
      <x:c r="D20" s="1"/>
      <x:c r="E20" s="1"/>
    </x:row>
    <x:row r="21">
      <x:c r="A21" s="1" t="str">
        <x:v>One-variable comparison only; no impairment amount or management-model re-performance is calculated.</x:v>
      </x:c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</x:sheetData>
  <x:pageMargins left="0.7" right="0.7" top="0.75" bottom="0.75" header="0.3" footer="0.3"/>
</x:worksheet>
</file>